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Knight\Desktop\Flood-Susceptibility-AHP-MCDA-Rangpur\python &amp; excel\"/>
    </mc:Choice>
  </mc:AlternateContent>
  <xr:revisionPtr revIDLastSave="0" documentId="13_ncr:1_{BF54B530-7C32-401C-9C84-D0DD847B68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N7" i="1" s="1"/>
  <c r="E13" i="1"/>
  <c r="O8" i="1" s="1"/>
  <c r="F13" i="1"/>
  <c r="P5" i="1" s="1"/>
  <c r="G13" i="1"/>
  <c r="Q6" i="1" s="1"/>
  <c r="H13" i="1"/>
  <c r="R7" i="1" s="1"/>
  <c r="I13" i="1"/>
  <c r="S8" i="1" s="1"/>
  <c r="J13" i="1"/>
  <c r="T5" i="1" s="1"/>
  <c r="C13" i="1"/>
  <c r="M8" i="1" s="1"/>
  <c r="T12" i="1" l="1"/>
  <c r="R12" i="1"/>
  <c r="N12" i="1"/>
  <c r="T10" i="1"/>
  <c r="Q7" i="1"/>
  <c r="P10" i="1"/>
  <c r="P7" i="1"/>
  <c r="M7" i="1"/>
  <c r="Q12" i="1"/>
  <c r="Q11" i="1"/>
  <c r="T8" i="1"/>
  <c r="N8" i="1"/>
  <c r="T6" i="1"/>
  <c r="M11" i="1"/>
  <c r="Q8" i="1"/>
  <c r="M10" i="1"/>
  <c r="T11" i="1"/>
  <c r="P8" i="1"/>
  <c r="M6" i="1"/>
  <c r="P12" i="1"/>
  <c r="P11" i="1"/>
  <c r="R8" i="1"/>
  <c r="T7" i="1"/>
  <c r="P6" i="1"/>
  <c r="S9" i="1"/>
  <c r="O9" i="1"/>
  <c r="S5" i="1"/>
  <c r="O5" i="1"/>
  <c r="S10" i="1"/>
  <c r="O10" i="1"/>
  <c r="R9" i="1"/>
  <c r="N9" i="1"/>
  <c r="S6" i="1"/>
  <c r="O6" i="1"/>
  <c r="R5" i="1"/>
  <c r="N5" i="1"/>
  <c r="M5" i="1"/>
  <c r="M9" i="1"/>
  <c r="S11" i="1"/>
  <c r="O11" i="1"/>
  <c r="R10" i="1"/>
  <c r="N10" i="1"/>
  <c r="Q9" i="1"/>
  <c r="S7" i="1"/>
  <c r="O7" i="1"/>
  <c r="R6" i="1"/>
  <c r="N6" i="1"/>
  <c r="Q5" i="1"/>
  <c r="M12" i="1"/>
  <c r="S12" i="1"/>
  <c r="O12" i="1"/>
  <c r="R11" i="1"/>
  <c r="N11" i="1"/>
  <c r="Q10" i="1"/>
  <c r="T9" i="1"/>
  <c r="P9" i="1"/>
  <c r="T13" i="1" l="1"/>
  <c r="M13" i="1"/>
  <c r="P13" i="1"/>
  <c r="O13" i="1"/>
  <c r="S13" i="1"/>
  <c r="U5" i="1"/>
  <c r="R13" i="1"/>
  <c r="U9" i="1"/>
  <c r="Q13" i="1"/>
  <c r="N13" i="1"/>
  <c r="U11" i="1"/>
  <c r="U8" i="1"/>
  <c r="U7" i="1"/>
  <c r="U10" i="1"/>
  <c r="U12" i="1"/>
  <c r="U6" i="1"/>
  <c r="V5" i="1" l="1" a="1"/>
  <c r="V5" i="1" s="1"/>
  <c r="V6" i="1" a="1"/>
  <c r="V6" i="1" s="1"/>
  <c r="V10" i="1" a="1"/>
  <c r="V10" i="1" s="1"/>
  <c r="V11" i="1" a="1"/>
  <c r="V11" i="1" s="1"/>
  <c r="V7" i="1" a="1"/>
  <c r="V7" i="1" s="1"/>
  <c r="V8" i="1" a="1"/>
  <c r="V8" i="1" s="1"/>
  <c r="V12" i="1" a="1"/>
  <c r="V12" i="1" s="1"/>
  <c r="V9" i="1" a="1"/>
  <c r="V9" i="1" s="1"/>
  <c r="U13" i="1"/>
  <c r="F16" i="1" l="1"/>
  <c r="F17" i="1" s="1"/>
  <c r="F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<sst xmlns="http://schemas.openxmlformats.org/spreadsheetml/2006/main" count="75" uniqueCount="43">
  <si>
    <t>Elevation</t>
  </si>
  <si>
    <t>Slope</t>
  </si>
  <si>
    <t>DTR</t>
  </si>
  <si>
    <t>LULC</t>
  </si>
  <si>
    <t>NDVI</t>
  </si>
  <si>
    <t>PREC</t>
  </si>
  <si>
    <t>TWI</t>
  </si>
  <si>
    <t>Flow Acc</t>
  </si>
  <si>
    <t>AHP</t>
  </si>
  <si>
    <t>Standardized matrix</t>
  </si>
  <si>
    <t>Total</t>
  </si>
  <si>
    <t>Weightage</t>
  </si>
  <si>
    <t>CV</t>
  </si>
  <si>
    <t>Lambda max</t>
  </si>
  <si>
    <t>consistancy index</t>
  </si>
  <si>
    <t>consistancy ratio</t>
  </si>
  <si>
    <t>Parameter</t>
  </si>
  <si>
    <t>Needs Reversal?</t>
  </si>
  <si>
    <t>Correct Susceptibility Logic</t>
  </si>
  <si>
    <t>Reason / Interpretation</t>
  </si>
  <si>
    <t>YES</t>
  </si>
  <si>
    <t>NO</t>
  </si>
  <si>
    <r>
      <t xml:space="preserve">Flat = high susceptibility → use </t>
    </r>
    <r>
      <rPr>
        <b/>
        <sz val="11"/>
        <color theme="1"/>
        <rFont val="Calibri"/>
        <family val="2"/>
        <scheme val="minor"/>
      </rPr>
      <t>1→1 … 5→5</t>
    </r>
  </si>
  <si>
    <t>Class 5 = flat terrain; matches high flood risk.</t>
  </si>
  <si>
    <t>Flow Accumulation</t>
  </si>
  <si>
    <r>
      <t xml:space="preserve">High FA = high susceptibility → use </t>
    </r>
    <r>
      <rPr>
        <b/>
        <sz val="11"/>
        <color theme="1"/>
        <rFont val="Calibri"/>
        <family val="2"/>
        <scheme val="minor"/>
      </rPr>
      <t>1→1 … 5→5</t>
    </r>
  </si>
  <si>
    <t>Small class 5 area = channel concentration zones; correct direction.</t>
  </si>
  <si>
    <t>Distance to River</t>
  </si>
  <si>
    <r>
      <t xml:space="preserve">Near river = high susceptibility → use </t>
    </r>
    <r>
      <rPr>
        <b/>
        <sz val="11"/>
        <color theme="1"/>
        <rFont val="Calibri"/>
        <family val="2"/>
        <scheme val="minor"/>
      </rPr>
      <t>1→1 … 5→5</t>
    </r>
  </si>
  <si>
    <t>Class 5 = closest distance; class 1 = far; correct direction.</t>
  </si>
  <si>
    <r>
      <t xml:space="preserve">Built-up/bare = high susceptibility → use </t>
    </r>
    <r>
      <rPr>
        <b/>
        <sz val="11"/>
        <color theme="1"/>
        <rFont val="Calibri"/>
        <family val="2"/>
        <scheme val="minor"/>
      </rPr>
      <t>1→1 … 5→5</t>
    </r>
  </si>
  <si>
    <t>Your LULC class order matches expected risk pattern.</t>
  </si>
  <si>
    <r>
      <t xml:space="preserve">Low NDVI = high susceptibility → use </t>
    </r>
    <r>
      <rPr>
        <b/>
        <sz val="11"/>
        <color theme="1"/>
        <rFont val="Calibri"/>
        <family val="2"/>
        <scheme val="minor"/>
      </rPr>
      <t>5,4,3,2,1</t>
    </r>
  </si>
  <si>
    <t>Class 1 = very low vegetation = high risk → needs reversal.</t>
  </si>
  <si>
    <t>Precipitation (PREC)</t>
  </si>
  <si>
    <r>
      <t xml:space="preserve">Higher rainfall = high susceptibility → use </t>
    </r>
    <r>
      <rPr>
        <b/>
        <sz val="11"/>
        <color theme="1"/>
        <rFont val="Calibri"/>
        <family val="2"/>
        <scheme val="minor"/>
      </rPr>
      <t>1→1 … 5→5</t>
    </r>
  </si>
  <si>
    <t>Class 5 = highest rainfall; aligns with risk direction.</t>
  </si>
  <si>
    <r>
      <t xml:space="preserve">Higher TWI = high susceptibility → use </t>
    </r>
    <r>
      <rPr>
        <b/>
        <sz val="11"/>
        <color theme="1"/>
        <rFont val="Calibri"/>
        <family val="2"/>
        <scheme val="minor"/>
      </rPr>
      <t>1→1 … 5→5</t>
    </r>
  </si>
  <si>
    <t>Class 5 = wettest zones; correct susceptibility orientation.</t>
  </si>
  <si>
    <t>DEM</t>
  </si>
  <si>
    <t>FlowAcc</t>
  </si>
  <si>
    <t>("FSS_temp" = 0.35*(6 - "Elevation") + 0.24*"Slope" + 0.02*"PREC" + 0.15*"FlowAcc" + 0.1*"DTR" + 0.06*"LULC" + 0.03*(6 - "NDVI") + 0.04*"TWI")</t>
  </si>
  <si>
    <t>Raster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</si>
</sst>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3"/>
      <name val="Cambria"/>
      <family val="1"/>
    </font>
    <font>
      <sz val="11"/>
      <color theme="1"/>
      <name val="Cambria"/>
      <family val="1"/>
    </font>
    <font>
      <sz val="12"/>
      <color theme="1"/>
      <name val="Cambria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2" borderId="3" applyNumberFormat="0" applyAlignment="0" applyProtection="0"/>
  </cellStyleXfs>
  <cellXfs count="51">
    <xf numFmtId="0" fontId="0" fillId="0" borderId="0" xfId="0"/>
    <xf numFmtId="2" fontId="5" fillId="3" borderId="4" xfId="0" applyNumberFormat="1" applyFont="1" applyFill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2" fontId="5" fillId="4" borderId="4" xfId="0" applyNumberFormat="1" applyFont="1" applyFill="1" applyBorder="1" applyAlignment="1">
      <alignment horizontal="center" vertical="center"/>
    </xf>
    <xf numFmtId="2" fontId="4" fillId="0" borderId="9" xfId="1" applyNumberFormat="1" applyFont="1" applyBorder="1" applyAlignment="1">
      <alignment horizontal="center" vertical="center"/>
    </xf>
    <xf numFmtId="2" fontId="4" fillId="0" borderId="9" xfId="2" applyNumberFormat="1" applyFont="1" applyBorder="1" applyAlignment="1">
      <alignment horizontal="center" vertical="center"/>
    </xf>
    <xf numFmtId="2" fontId="4" fillId="0" borderId="13" xfId="2" applyNumberFormat="1" applyFont="1" applyBorder="1" applyAlignment="1">
      <alignment horizontal="center" vertical="center"/>
    </xf>
    <xf numFmtId="2" fontId="4" fillId="0" borderId="14" xfId="2" applyNumberFormat="1" applyFont="1" applyBorder="1" applyAlignment="1">
      <alignment horizontal="center" vertical="center"/>
    </xf>
    <xf numFmtId="2" fontId="4" fillId="0" borderId="4" xfId="2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2" fontId="3" fillId="2" borderId="3" xfId="3" applyNumberFormat="1" applyAlignment="1">
      <alignment horizontal="center" vertical="center"/>
    </xf>
    <xf numFmtId="12" fontId="5" fillId="0" borderId="0" xfId="0" applyNumberFormat="1" applyFont="1" applyAlignment="1">
      <alignment horizontal="center" vertical="center"/>
    </xf>
    <xf numFmtId="12" fontId="4" fillId="0" borderId="10" xfId="1" applyNumberFormat="1" applyFont="1" applyBorder="1" applyAlignment="1">
      <alignment horizontal="center" vertical="center"/>
    </xf>
    <xf numFmtId="12" fontId="4" fillId="0" borderId="12" xfId="2" applyNumberFormat="1" applyFont="1" applyBorder="1" applyAlignment="1">
      <alignment horizontal="center" vertical="center"/>
    </xf>
    <xf numFmtId="12" fontId="5" fillId="0" borderId="12" xfId="0" applyNumberFormat="1" applyFont="1" applyBorder="1" applyAlignment="1">
      <alignment horizontal="center" vertical="center"/>
    </xf>
    <xf numFmtId="12" fontId="5" fillId="3" borderId="4" xfId="0" applyNumberFormat="1" applyFont="1" applyFill="1" applyBorder="1" applyAlignment="1">
      <alignment horizontal="center" vertical="center"/>
    </xf>
    <xf numFmtId="12" fontId="5" fillId="0" borderId="4" xfId="0" applyNumberFormat="1" applyFont="1" applyBorder="1" applyAlignment="1">
      <alignment horizontal="center" vertical="center"/>
    </xf>
    <xf numFmtId="12" fontId="5" fillId="3" borderId="12" xfId="0" applyNumberFormat="1" applyFont="1" applyFill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1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2" fontId="5" fillId="0" borderId="15" xfId="0" applyNumberFormat="1" applyFont="1" applyBorder="1" applyAlignment="1">
      <alignment horizontal="center" vertical="center"/>
    </xf>
    <xf numFmtId="2" fontId="5" fillId="0" borderId="16" xfId="0" applyNumberFormat="1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2" fontId="6" fillId="0" borderId="7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center" wrapText="1"/>
    </xf>
    <xf numFmtId="2" fontId="5" fillId="0" borderId="17" xfId="0" applyNumberFormat="1" applyFont="1" applyBorder="1" applyAlignment="1">
      <alignment horizontal="center" vertical="center" wrapText="1"/>
    </xf>
    <xf numFmtId="2" fontId="5" fillId="0" borderId="18" xfId="0" applyNumberFormat="1" applyFont="1" applyBorder="1" applyAlignment="1">
      <alignment horizontal="center" vertical="center" wrapText="1"/>
    </xf>
    <xf numFmtId="2" fontId="5" fillId="0" borderId="19" xfId="0" applyNumberFormat="1" applyFont="1" applyBorder="1" applyAlignment="1">
      <alignment horizontal="center" vertical="center" wrapText="1"/>
    </xf>
    <xf numFmtId="2" fontId="5" fillId="0" borderId="18" xfId="0" applyNumberFormat="1" applyFont="1" applyBorder="1" applyAlignment="1">
      <alignment horizontal="center" vertical="center"/>
    </xf>
  </cellXfs>
  <cellStyles count="4">
    <cellStyle name="Check Cell" xfId="3" builtinId="23"/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tabSelected="1" zoomScale="85" zoomScaleNormal="85" workbookViewId="0">
      <selection activeCell="AE22" sqref="AE22"/>
    </sheetView>
  </sheetViews>
  <sheetFormatPr defaultColWidth="8.140625" defaultRowHeight="14.25" x14ac:dyDescent="0.25"/>
  <cols>
    <col min="1" max="1" width="1.42578125" style="10" customWidth="1"/>
    <col min="2" max="2" width="10" style="10" customWidth="1"/>
    <col min="3" max="3" width="9.5703125" style="10" customWidth="1"/>
    <col min="4" max="4" width="8.28515625" style="10" bestFit="1" customWidth="1"/>
    <col min="5" max="5" width="8.42578125" style="10" customWidth="1"/>
    <col min="6" max="6" width="8.28515625" style="10" bestFit="1" customWidth="1"/>
    <col min="7" max="7" width="8.42578125" style="10" bestFit="1" customWidth="1"/>
    <col min="8" max="8" width="8.5703125" style="10" bestFit="1" customWidth="1"/>
    <col min="9" max="9" width="8.28515625" style="10" bestFit="1" customWidth="1"/>
    <col min="10" max="10" width="9" style="10" customWidth="1"/>
    <col min="11" max="11" width="8.140625" style="10"/>
    <col min="12" max="12" width="10.28515625" style="10" customWidth="1"/>
    <col min="13" max="13" width="9.85546875" style="10" customWidth="1"/>
    <col min="14" max="14" width="9.140625" style="10" customWidth="1"/>
    <col min="15" max="15" width="9.28515625" style="10" customWidth="1"/>
    <col min="16" max="20" width="8.140625" style="10"/>
    <col min="21" max="21" width="9.85546875" style="10" customWidth="1"/>
    <col min="22" max="22" width="8.42578125" style="10" bestFit="1" customWidth="1"/>
    <col min="23" max="25" width="8.140625" style="10"/>
    <col min="26" max="26" width="16.85546875" style="10" customWidth="1"/>
    <col min="27" max="27" width="14.5703125" style="10" customWidth="1"/>
    <col min="28" max="28" width="30.42578125" style="10" customWidth="1"/>
    <col min="29" max="29" width="18.28515625" style="10" customWidth="1"/>
    <col min="30" max="16384" width="8.140625" style="10"/>
  </cols>
  <sheetData>
    <row r="1" spans="1:22" ht="15" thickBot="1" x14ac:dyDescent="0.3"/>
    <row r="2" spans="1:22" ht="16.5" thickBot="1" x14ac:dyDescent="0.3">
      <c r="O2" s="41" t="s">
        <v>9</v>
      </c>
      <c r="P2" s="42"/>
      <c r="Q2" s="42"/>
      <c r="R2" s="42"/>
      <c r="S2" s="43"/>
    </row>
    <row r="3" spans="1:22" ht="15" thickBo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</row>
    <row r="4" spans="1:22" ht="16.5" thickTop="1" thickBot="1" x14ac:dyDescent="0.3">
      <c r="A4" s="14"/>
      <c r="B4" s="15" t="s">
        <v>8</v>
      </c>
      <c r="C4" s="16" t="s">
        <v>39</v>
      </c>
      <c r="D4" s="16" t="s">
        <v>1</v>
      </c>
      <c r="E4" s="16" t="s">
        <v>5</v>
      </c>
      <c r="F4" s="16" t="s">
        <v>40</v>
      </c>
      <c r="G4" s="16" t="s">
        <v>2</v>
      </c>
      <c r="H4" s="16" t="s">
        <v>3</v>
      </c>
      <c r="I4" s="16" t="s">
        <v>4</v>
      </c>
      <c r="J4" s="16" t="s">
        <v>6</v>
      </c>
      <c r="L4" s="5" t="s">
        <v>8</v>
      </c>
      <c r="M4" s="6" t="s">
        <v>0</v>
      </c>
      <c r="N4" s="7" t="s">
        <v>1</v>
      </c>
      <c r="O4" s="7" t="s">
        <v>7</v>
      </c>
      <c r="P4" s="7" t="s">
        <v>2</v>
      </c>
      <c r="Q4" s="7" t="s">
        <v>3</v>
      </c>
      <c r="R4" s="7" t="s">
        <v>4</v>
      </c>
      <c r="S4" s="7" t="s">
        <v>5</v>
      </c>
      <c r="T4" s="8" t="s">
        <v>6</v>
      </c>
      <c r="U4" s="13" t="s">
        <v>11</v>
      </c>
      <c r="V4" s="3" t="s">
        <v>12</v>
      </c>
    </row>
    <row r="5" spans="1:22" ht="20.25" customHeight="1" thickTop="1" thickBot="1" x14ac:dyDescent="0.3">
      <c r="A5" s="14"/>
      <c r="B5" s="16" t="s">
        <v>39</v>
      </c>
      <c r="C5" s="18">
        <v>1</v>
      </c>
      <c r="D5" s="19">
        <v>2</v>
      </c>
      <c r="E5" s="19">
        <v>3</v>
      </c>
      <c r="F5" s="19">
        <v>4</v>
      </c>
      <c r="G5" s="19">
        <v>7</v>
      </c>
      <c r="H5" s="19">
        <v>9</v>
      </c>
      <c r="I5" s="19">
        <v>9</v>
      </c>
      <c r="J5" s="19">
        <v>7</v>
      </c>
      <c r="L5" s="9" t="s">
        <v>0</v>
      </c>
      <c r="M5" s="1">
        <f>C5/C$13</f>
        <v>0.38591117917304751</v>
      </c>
      <c r="N5" s="4">
        <f t="shared" ref="N5:T12" si="0">D5/D$13</f>
        <v>0.44570215776441457</v>
      </c>
      <c r="O5" s="4">
        <f t="shared" si="0"/>
        <v>0.40397563321577429</v>
      </c>
      <c r="P5" s="4">
        <f t="shared" si="0"/>
        <v>0.35450516986706054</v>
      </c>
      <c r="Q5" s="4">
        <f t="shared" si="0"/>
        <v>0.36206896551724138</v>
      </c>
      <c r="R5" s="4">
        <f t="shared" si="0"/>
        <v>0.30508474576271188</v>
      </c>
      <c r="S5" s="4">
        <f t="shared" si="0"/>
        <v>0.23684210526315788</v>
      </c>
      <c r="T5" s="4">
        <f t="shared" si="0"/>
        <v>0.2978723404255319</v>
      </c>
      <c r="U5" s="13">
        <f>AVERAGE(M5:T5)</f>
        <v>0.34899528712361749</v>
      </c>
      <c r="V5" s="2" cm="1">
        <f t="array" ref="V5">MMULT(C5:J5,$U$5:$U$12)/U5</f>
        <v>8.3441889351442224</v>
      </c>
    </row>
    <row r="6" spans="1:22" ht="20.25" customHeight="1" thickTop="1" thickBot="1" x14ac:dyDescent="0.3">
      <c r="A6" s="14"/>
      <c r="B6" s="16" t="s">
        <v>1</v>
      </c>
      <c r="C6" s="19">
        <v>0.5</v>
      </c>
      <c r="D6" s="18">
        <v>1</v>
      </c>
      <c r="E6" s="19">
        <v>2</v>
      </c>
      <c r="F6" s="19">
        <v>3</v>
      </c>
      <c r="G6" s="19">
        <v>5</v>
      </c>
      <c r="H6" s="19">
        <v>7</v>
      </c>
      <c r="I6" s="19">
        <v>9</v>
      </c>
      <c r="J6" s="19">
        <v>5</v>
      </c>
      <c r="L6" s="9" t="s">
        <v>1</v>
      </c>
      <c r="M6" s="4">
        <f t="shared" ref="M6:M12" si="1">C6/C$13</f>
        <v>0.19295558958652376</v>
      </c>
      <c r="N6" s="1">
        <f t="shared" si="0"/>
        <v>0.22285107888220729</v>
      </c>
      <c r="O6" s="4">
        <f t="shared" si="0"/>
        <v>0.26931708881051619</v>
      </c>
      <c r="P6" s="4">
        <f t="shared" si="0"/>
        <v>0.26587887740029542</v>
      </c>
      <c r="Q6" s="4">
        <f t="shared" si="0"/>
        <v>0.25862068965517243</v>
      </c>
      <c r="R6" s="4">
        <f t="shared" si="0"/>
        <v>0.23728813559322035</v>
      </c>
      <c r="S6" s="4">
        <f t="shared" si="0"/>
        <v>0.23684210526315788</v>
      </c>
      <c r="T6" s="4">
        <f t="shared" si="0"/>
        <v>0.21276595744680851</v>
      </c>
      <c r="U6" s="13">
        <f t="shared" ref="U6:U12" si="2">AVERAGE(M6:T6)</f>
        <v>0.23706494032973774</v>
      </c>
      <c r="V6" s="2" cm="1">
        <f t="array" ref="V6">MMULT(C6:J6,$U$5:$U$12)/U6</f>
        <v>8.3362983815796383</v>
      </c>
    </row>
    <row r="7" spans="1:22" ht="20.25" customHeight="1" thickTop="1" thickBot="1" x14ac:dyDescent="0.3">
      <c r="A7" s="14"/>
      <c r="B7" s="16" t="s">
        <v>5</v>
      </c>
      <c r="C7" s="19">
        <v>0.33333333333333331</v>
      </c>
      <c r="D7" s="19">
        <v>0.5</v>
      </c>
      <c r="E7" s="18">
        <v>1</v>
      </c>
      <c r="F7" s="19">
        <v>2</v>
      </c>
      <c r="G7" s="19">
        <v>3</v>
      </c>
      <c r="H7" s="19">
        <v>5</v>
      </c>
      <c r="I7" s="19">
        <v>7</v>
      </c>
      <c r="J7" s="19">
        <v>4</v>
      </c>
      <c r="L7" s="9" t="s">
        <v>7</v>
      </c>
      <c r="M7" s="4">
        <f t="shared" si="1"/>
        <v>0.12863705972434916</v>
      </c>
      <c r="N7" s="4">
        <f t="shared" si="0"/>
        <v>0.11142553944110364</v>
      </c>
      <c r="O7" s="1">
        <f t="shared" si="0"/>
        <v>0.1346585444052581</v>
      </c>
      <c r="P7" s="4">
        <f t="shared" si="0"/>
        <v>0.17725258493353027</v>
      </c>
      <c r="Q7" s="4">
        <f t="shared" si="0"/>
        <v>0.15517241379310345</v>
      </c>
      <c r="R7" s="4">
        <f t="shared" si="0"/>
        <v>0.16949152542372881</v>
      </c>
      <c r="S7" s="4">
        <f t="shared" si="0"/>
        <v>0.18421052631578946</v>
      </c>
      <c r="T7" s="4">
        <f t="shared" si="0"/>
        <v>0.1702127659574468</v>
      </c>
      <c r="U7" s="13">
        <f t="shared" si="2"/>
        <v>0.15388261999928871</v>
      </c>
      <c r="V7" s="2" cm="1">
        <f t="array" ref="V7">MMULT(C7:J7,$U$5:$U$12)/U7</f>
        <v>8.242678533519765</v>
      </c>
    </row>
    <row r="8" spans="1:22" ht="20.25" customHeight="1" thickTop="1" thickBot="1" x14ac:dyDescent="0.3">
      <c r="A8" s="14"/>
      <c r="B8" s="16" t="s">
        <v>40</v>
      </c>
      <c r="C8" s="19">
        <v>0.25</v>
      </c>
      <c r="D8" s="19">
        <v>0.33333333333333331</v>
      </c>
      <c r="E8" s="19">
        <v>0.5</v>
      </c>
      <c r="F8" s="18">
        <v>1</v>
      </c>
      <c r="G8" s="19">
        <v>2</v>
      </c>
      <c r="H8" s="19">
        <v>4</v>
      </c>
      <c r="I8" s="19">
        <v>5</v>
      </c>
      <c r="J8" s="19">
        <v>3</v>
      </c>
      <c r="L8" s="9" t="s">
        <v>2</v>
      </c>
      <c r="M8" s="4">
        <f t="shared" si="1"/>
        <v>9.6477794793261878E-2</v>
      </c>
      <c r="N8" s="4">
        <f t="shared" si="0"/>
        <v>7.4283692960735753E-2</v>
      </c>
      <c r="O8" s="4">
        <f t="shared" si="0"/>
        <v>6.7329272202629048E-2</v>
      </c>
      <c r="P8" s="1">
        <f t="shared" si="0"/>
        <v>8.8626292466765136E-2</v>
      </c>
      <c r="Q8" s="4">
        <f t="shared" si="0"/>
        <v>0.10344827586206898</v>
      </c>
      <c r="R8" s="4">
        <f t="shared" si="0"/>
        <v>0.13559322033898305</v>
      </c>
      <c r="S8" s="4">
        <f t="shared" si="0"/>
        <v>0.13157894736842105</v>
      </c>
      <c r="T8" s="4">
        <f t="shared" si="0"/>
        <v>0.1276595744680851</v>
      </c>
      <c r="U8" s="13">
        <f t="shared" si="2"/>
        <v>0.10312463380761874</v>
      </c>
      <c r="V8" s="2" cm="1">
        <f t="array" ref="V8">MMULT(C8:J8,$U$5:$U$12)/U8</f>
        <v>8.1407762709277733</v>
      </c>
    </row>
    <row r="9" spans="1:22" ht="20.25" customHeight="1" thickTop="1" thickBot="1" x14ac:dyDescent="0.3">
      <c r="A9" s="14"/>
      <c r="B9" s="16" t="s">
        <v>2</v>
      </c>
      <c r="C9" s="19">
        <v>0.14285714285714285</v>
      </c>
      <c r="D9" s="19">
        <v>0.2</v>
      </c>
      <c r="E9" s="19">
        <v>0.33333333333333331</v>
      </c>
      <c r="F9" s="19">
        <v>0.5</v>
      </c>
      <c r="G9" s="18">
        <v>1</v>
      </c>
      <c r="H9" s="19">
        <v>2</v>
      </c>
      <c r="I9" s="19">
        <v>3</v>
      </c>
      <c r="J9" s="19">
        <v>2</v>
      </c>
      <c r="L9" s="9" t="s">
        <v>3</v>
      </c>
      <c r="M9" s="4">
        <f t="shared" si="1"/>
        <v>5.5130168453292501E-2</v>
      </c>
      <c r="N9" s="4">
        <f t="shared" si="0"/>
        <v>4.4570215776441456E-2</v>
      </c>
      <c r="O9" s="4">
        <f t="shared" si="0"/>
        <v>4.4886181468419363E-2</v>
      </c>
      <c r="P9" s="4">
        <f t="shared" si="0"/>
        <v>4.4313146233382568E-2</v>
      </c>
      <c r="Q9" s="1">
        <f t="shared" si="0"/>
        <v>5.1724137931034489E-2</v>
      </c>
      <c r="R9" s="4">
        <f t="shared" si="0"/>
        <v>6.7796610169491525E-2</v>
      </c>
      <c r="S9" s="4">
        <f t="shared" si="0"/>
        <v>7.8947368421052627E-2</v>
      </c>
      <c r="T9" s="4">
        <f t="shared" si="0"/>
        <v>8.5106382978723402E-2</v>
      </c>
      <c r="U9" s="13">
        <f t="shared" si="2"/>
        <v>5.9059276428979735E-2</v>
      </c>
      <c r="V9" s="2" cm="1">
        <f t="array" ref="V9">MMULT(C9:J9,$U$5:$U$12)/U9</f>
        <v>8.0974563415565317</v>
      </c>
    </row>
    <row r="10" spans="1:22" ht="20.25" customHeight="1" thickTop="1" thickBot="1" x14ac:dyDescent="0.3">
      <c r="A10" s="14"/>
      <c r="B10" s="16" t="s">
        <v>3</v>
      </c>
      <c r="C10" s="19">
        <v>0.1111111111111111</v>
      </c>
      <c r="D10" s="19">
        <v>0.14285714285714285</v>
      </c>
      <c r="E10" s="19">
        <v>0.2</v>
      </c>
      <c r="F10" s="19">
        <v>0.25</v>
      </c>
      <c r="G10" s="19">
        <v>0.5</v>
      </c>
      <c r="H10" s="18">
        <v>1</v>
      </c>
      <c r="I10" s="19">
        <v>2</v>
      </c>
      <c r="J10" s="19">
        <v>1</v>
      </c>
      <c r="L10" s="9" t="s">
        <v>4</v>
      </c>
      <c r="M10" s="4">
        <f t="shared" si="1"/>
        <v>4.2879019908116392E-2</v>
      </c>
      <c r="N10" s="4">
        <f t="shared" si="0"/>
        <v>3.1835868411743899E-2</v>
      </c>
      <c r="O10" s="4">
        <f t="shared" si="0"/>
        <v>2.6931708881051619E-2</v>
      </c>
      <c r="P10" s="4">
        <f t="shared" si="0"/>
        <v>2.2156573116691284E-2</v>
      </c>
      <c r="Q10" s="4">
        <f t="shared" si="0"/>
        <v>2.5862068965517244E-2</v>
      </c>
      <c r="R10" s="1">
        <f t="shared" si="0"/>
        <v>3.3898305084745763E-2</v>
      </c>
      <c r="S10" s="4">
        <f t="shared" si="0"/>
        <v>5.2631578947368418E-2</v>
      </c>
      <c r="T10" s="4">
        <f t="shared" si="0"/>
        <v>4.2553191489361701E-2</v>
      </c>
      <c r="U10" s="13">
        <f t="shared" si="2"/>
        <v>3.4843539350574534E-2</v>
      </c>
      <c r="V10" s="2" cm="1">
        <f t="array" ref="V10">MMULT(C10:J10,$U$5:$U$12)/U10</f>
        <v>8.0331221379253765</v>
      </c>
    </row>
    <row r="11" spans="1:22" ht="20.25" customHeight="1" thickTop="1" thickBot="1" x14ac:dyDescent="0.3">
      <c r="A11" s="14"/>
      <c r="B11" s="16" t="s">
        <v>4</v>
      </c>
      <c r="C11" s="19">
        <v>0.1111111111111111</v>
      </c>
      <c r="D11" s="19">
        <v>0.1111111111111111</v>
      </c>
      <c r="E11" s="19">
        <v>0.14285714285714285</v>
      </c>
      <c r="F11" s="19">
        <v>0.2</v>
      </c>
      <c r="G11" s="19">
        <v>0.33333333333333331</v>
      </c>
      <c r="H11" s="19">
        <v>0.5</v>
      </c>
      <c r="I11" s="18">
        <v>1</v>
      </c>
      <c r="J11" s="19">
        <v>0.5</v>
      </c>
      <c r="L11" s="9" t="s">
        <v>5</v>
      </c>
      <c r="M11" s="4">
        <f t="shared" si="1"/>
        <v>4.2879019908116392E-2</v>
      </c>
      <c r="N11" s="4">
        <f t="shared" si="0"/>
        <v>2.4761230986911919E-2</v>
      </c>
      <c r="O11" s="4">
        <f t="shared" si="0"/>
        <v>1.923693491503687E-2</v>
      </c>
      <c r="P11" s="4">
        <f t="shared" si="0"/>
        <v>1.7725258493353029E-2</v>
      </c>
      <c r="Q11" s="4">
        <f t="shared" si="0"/>
        <v>1.7241379310344827E-2</v>
      </c>
      <c r="R11" s="4">
        <f t="shared" si="0"/>
        <v>1.6949152542372881E-2</v>
      </c>
      <c r="S11" s="1">
        <f t="shared" si="0"/>
        <v>2.6315789473684209E-2</v>
      </c>
      <c r="T11" s="4">
        <f t="shared" si="0"/>
        <v>2.1276595744680851E-2</v>
      </c>
      <c r="U11" s="13">
        <f t="shared" si="2"/>
        <v>2.3298170171812623E-2</v>
      </c>
      <c r="V11" s="2" cm="1">
        <f t="array" ref="V11">MMULT(C11:J11,$U$5:$U$12)/U11</f>
        <v>8.0692213839792561</v>
      </c>
    </row>
    <row r="12" spans="1:22" ht="20.25" customHeight="1" thickTop="1" thickBot="1" x14ac:dyDescent="0.3">
      <c r="A12" s="14"/>
      <c r="B12" s="16" t="s">
        <v>6</v>
      </c>
      <c r="C12" s="17">
        <v>0.14285714285714285</v>
      </c>
      <c r="D12" s="17">
        <v>0.2</v>
      </c>
      <c r="E12" s="17">
        <v>0.25</v>
      </c>
      <c r="F12" s="17">
        <v>0.33333333333333331</v>
      </c>
      <c r="G12" s="17">
        <v>0.5</v>
      </c>
      <c r="H12" s="17">
        <v>1</v>
      </c>
      <c r="I12" s="17">
        <v>2</v>
      </c>
      <c r="J12" s="20">
        <v>1</v>
      </c>
      <c r="L12" s="9" t="s">
        <v>6</v>
      </c>
      <c r="M12" s="4">
        <f t="shared" si="1"/>
        <v>5.5130168453292501E-2</v>
      </c>
      <c r="N12" s="4">
        <f t="shared" si="0"/>
        <v>4.4570215776441456E-2</v>
      </c>
      <c r="O12" s="4">
        <f t="shared" si="0"/>
        <v>3.3664636101314524E-2</v>
      </c>
      <c r="P12" s="4">
        <f t="shared" si="0"/>
        <v>2.9542097488921712E-2</v>
      </c>
      <c r="Q12" s="4">
        <f t="shared" si="0"/>
        <v>2.5862068965517244E-2</v>
      </c>
      <c r="R12" s="4">
        <f t="shared" si="0"/>
        <v>3.3898305084745763E-2</v>
      </c>
      <c r="S12" s="4">
        <f t="shared" si="0"/>
        <v>5.2631578947368418E-2</v>
      </c>
      <c r="T12" s="1">
        <f t="shared" si="0"/>
        <v>4.2553191489361701E-2</v>
      </c>
      <c r="U12" s="13">
        <f t="shared" si="2"/>
        <v>3.9731532788370418E-2</v>
      </c>
      <c r="V12" s="11" cm="1">
        <f t="array" ref="V12">MMULT(C12:J12,$U$5:$U$12)/U12</f>
        <v>8.074595133206012</v>
      </c>
    </row>
    <row r="13" spans="1:22" ht="15" thickBot="1" x14ac:dyDescent="0.3">
      <c r="A13" s="14"/>
      <c r="B13" s="19" t="s">
        <v>10</v>
      </c>
      <c r="C13" s="2">
        <f>SUM(C5:C12)</f>
        <v>2.5912698412698409</v>
      </c>
      <c r="D13" s="2">
        <f t="shared" ref="D13:J13" si="3">SUM(D5:D12)</f>
        <v>4.4873015873015873</v>
      </c>
      <c r="E13" s="2">
        <f t="shared" si="3"/>
        <v>7.4261904761904765</v>
      </c>
      <c r="F13" s="2">
        <f t="shared" si="3"/>
        <v>11.283333333333333</v>
      </c>
      <c r="G13" s="2">
        <f t="shared" si="3"/>
        <v>19.333333333333332</v>
      </c>
      <c r="H13" s="2">
        <f t="shared" si="3"/>
        <v>29.5</v>
      </c>
      <c r="I13" s="2">
        <f t="shared" si="3"/>
        <v>38</v>
      </c>
      <c r="J13" s="2">
        <f t="shared" si="3"/>
        <v>23.5</v>
      </c>
      <c r="M13" s="10">
        <f>AVERAGE(M5:M12)</f>
        <v>0.125</v>
      </c>
      <c r="N13" s="10">
        <f t="shared" ref="N13:T13" si="4">AVERAGE(N5:N12)</f>
        <v>0.125</v>
      </c>
      <c r="O13" s="10">
        <f t="shared" si="4"/>
        <v>0.12500000000000003</v>
      </c>
      <c r="P13" s="10">
        <f t="shared" si="4"/>
        <v>0.12499999999999999</v>
      </c>
      <c r="Q13" s="10">
        <f t="shared" si="4"/>
        <v>0.125</v>
      </c>
      <c r="R13" s="10">
        <f t="shared" si="4"/>
        <v>0.125</v>
      </c>
      <c r="S13" s="10">
        <f t="shared" si="4"/>
        <v>0.125</v>
      </c>
      <c r="T13" s="10">
        <f t="shared" si="4"/>
        <v>0.12499999999999999</v>
      </c>
      <c r="U13" s="10">
        <f>SUM(U5:U12)</f>
        <v>0.99999999999999989</v>
      </c>
    </row>
    <row r="14" spans="1:22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spans="1:22" ht="15" thickBot="1" x14ac:dyDescent="0.3"/>
    <row r="16" spans="1:22" ht="15" thickBot="1" x14ac:dyDescent="0.3">
      <c r="D16" s="39" t="s">
        <v>13</v>
      </c>
      <c r="E16" s="40"/>
      <c r="F16" s="12">
        <f>AVERAGE(V5:V12)</f>
        <v>8.1672921397298222</v>
      </c>
      <c r="M16" s="50" t="s">
        <v>42</v>
      </c>
      <c r="N16" s="50"/>
      <c r="O16" s="50"/>
      <c r="P16" s="50"/>
    </row>
    <row r="17" spans="4:29" ht="15.75" customHeight="1" thickBot="1" x14ac:dyDescent="0.3">
      <c r="D17" s="39" t="s">
        <v>14</v>
      </c>
      <c r="E17" s="40"/>
      <c r="F17" s="12">
        <f>(F16-8)/(8-1)</f>
        <v>2.3898877104260308E-2</v>
      </c>
      <c r="H17" s="44" t="s">
        <v>41</v>
      </c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6"/>
    </row>
    <row r="18" spans="4:29" ht="15" thickBot="1" x14ac:dyDescent="0.3">
      <c r="D18" s="39" t="s">
        <v>15</v>
      </c>
      <c r="E18" s="40"/>
      <c r="F18" s="21">
        <f>F17/1.41</f>
        <v>1.6949558229971851E-2</v>
      </c>
      <c r="H18" s="47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9"/>
    </row>
    <row r="19" spans="4:29" ht="15" thickBot="1" x14ac:dyDescent="0.3">
      <c r="M19" s="22"/>
    </row>
    <row r="20" spans="4:29" ht="30.75" thickBot="1" x14ac:dyDescent="0.3">
      <c r="Z20" s="35" t="s">
        <v>16</v>
      </c>
      <c r="AA20" s="31" t="s">
        <v>17</v>
      </c>
      <c r="AB20" s="29" t="s">
        <v>18</v>
      </c>
      <c r="AC20" s="30" t="s">
        <v>19</v>
      </c>
    </row>
    <row r="21" spans="4:29" ht="45" x14ac:dyDescent="0.25">
      <c r="Z21" s="36" t="s">
        <v>1</v>
      </c>
      <c r="AA21" s="32" t="s">
        <v>21</v>
      </c>
      <c r="AB21" s="27" t="s">
        <v>22</v>
      </c>
      <c r="AC21" s="28" t="s">
        <v>23</v>
      </c>
    </row>
    <row r="22" spans="4:29" ht="75" x14ac:dyDescent="0.25">
      <c r="Z22" s="37" t="s">
        <v>24</v>
      </c>
      <c r="AA22" s="33" t="s">
        <v>21</v>
      </c>
      <c r="AB22" s="23" t="s">
        <v>25</v>
      </c>
      <c r="AC22" s="24" t="s">
        <v>26</v>
      </c>
    </row>
    <row r="23" spans="4:29" ht="60" x14ac:dyDescent="0.25">
      <c r="Z23" s="37" t="s">
        <v>27</v>
      </c>
      <c r="AA23" s="33" t="s">
        <v>21</v>
      </c>
      <c r="AB23" s="23" t="s">
        <v>28</v>
      </c>
      <c r="AC23" s="24" t="s">
        <v>29</v>
      </c>
    </row>
    <row r="24" spans="4:29" ht="60" x14ac:dyDescent="0.25">
      <c r="Z24" s="37" t="s">
        <v>3</v>
      </c>
      <c r="AA24" s="33" t="s">
        <v>21</v>
      </c>
      <c r="AB24" s="23" t="s">
        <v>30</v>
      </c>
      <c r="AC24" s="24" t="s">
        <v>31</v>
      </c>
    </row>
    <row r="25" spans="4:29" ht="60" x14ac:dyDescent="0.25">
      <c r="Z25" s="37" t="s">
        <v>4</v>
      </c>
      <c r="AA25" s="33" t="s">
        <v>20</v>
      </c>
      <c r="AB25" s="23" t="s">
        <v>32</v>
      </c>
      <c r="AC25" s="24" t="s">
        <v>33</v>
      </c>
    </row>
    <row r="26" spans="4:29" ht="45" x14ac:dyDescent="0.25">
      <c r="Z26" s="37" t="s">
        <v>34</v>
      </c>
      <c r="AA26" s="33" t="s">
        <v>21</v>
      </c>
      <c r="AB26" s="23" t="s">
        <v>35</v>
      </c>
      <c r="AC26" s="24" t="s">
        <v>36</v>
      </c>
    </row>
    <row r="27" spans="4:29" ht="60.75" thickBot="1" x14ac:dyDescent="0.3">
      <c r="Z27" s="38" t="s">
        <v>6</v>
      </c>
      <c r="AA27" s="34" t="s">
        <v>21</v>
      </c>
      <c r="AB27" s="25" t="s">
        <v>37</v>
      </c>
      <c r="AC27" s="26" t="s">
        <v>38</v>
      </c>
    </row>
  </sheetData>
  <mergeCells count="6">
    <mergeCell ref="D16:E16"/>
    <mergeCell ref="D17:E17"/>
    <mergeCell ref="D18:E18"/>
    <mergeCell ref="O2:S2"/>
    <mergeCell ref="H17:V18"/>
    <mergeCell ref="M16:P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</dc:creator>
  <cp:lastModifiedBy>Knight</cp:lastModifiedBy>
  <dcterms:created xsi:type="dcterms:W3CDTF">2015-06-05T18:17:20Z</dcterms:created>
  <dcterms:modified xsi:type="dcterms:W3CDTF">2025-12-07T16:14:22Z</dcterms:modified>
</cp:coreProperties>
</file>